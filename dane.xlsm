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Programiści" sheetId="2" r:id="rId1"/>
    <sheet name="Projektanci" sheetId="3" r:id="rId2"/>
    <sheet name="Pozostali pracownicy" sheetId="4" r:id="rId3"/>
    <sheet name="Graficy" sheetId="1" r:id="rId4"/>
  </sheets>
  <definedNames>
    <definedName name="_xlcn.WorksheetConnection_projektTI.xlsmTable101" hidden="1">Table10[]</definedName>
    <definedName name="_xlcn.WorksheetConnection_projektTI.xlsmTable11" hidden="1">Table1[]</definedName>
    <definedName name="kursy_walut.mybank.pl" localSheetId="0">Programiści!$J$23:$M$55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77ac7776-64fc-4c67-9173-11555782fb67" name="Table1" connection="WorksheetConnection_projekt TI.xlsm!Table1"/>
          <x15:modelTable id="Table10-a3c561c5-c347-4c5a-804d-bcef269df008" name="Table10" connection="WorksheetConnection_projekt TI.xlsm!Table10"/>
        </x15:modelTables>
      </x15:dataModel>
    </ext>
  </extLst>
</workbook>
</file>

<file path=xl/calcChain.xml><?xml version="1.0" encoding="utf-8"?>
<calcChain xmlns="http://schemas.openxmlformats.org/spreadsheetml/2006/main">
  <c r="F17" i="2" l="1"/>
  <c r="F16" i="2"/>
  <c r="F15" i="2"/>
  <c r="E17" i="2"/>
  <c r="E16" i="2"/>
  <c r="D17" i="2"/>
  <c r="F9" i="2"/>
  <c r="F8" i="2"/>
  <c r="F7" i="2"/>
  <c r="E9" i="2"/>
  <c r="E8" i="2"/>
  <c r="E7" i="2"/>
  <c r="D9" i="2"/>
  <c r="D8" i="2"/>
  <c r="D7" i="2"/>
  <c r="J31" i="2"/>
  <c r="J32" i="2" l="1"/>
  <c r="E18" i="4"/>
  <c r="E17" i="4"/>
  <c r="E16" i="4"/>
  <c r="E19" i="3"/>
  <c r="E18" i="3"/>
  <c r="E32" i="2"/>
  <c r="E31" i="2"/>
  <c r="E30" i="2"/>
  <c r="C16" i="1"/>
  <c r="C15" i="1"/>
  <c r="C14" i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kursy-walut.mybank.pl" htmlTables="1">
      <tables count="1">
        <x v="7"/>
      </tables>
    </webPr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projekt TI.xlsm!Table1" type="102" refreshedVersion="5" minRefreshableVersion="5">
    <extLst>
      <ext xmlns:x15="http://schemas.microsoft.com/office/spreadsheetml/2010/11/main" uri="{DE250136-89BD-433C-8126-D09CA5730AF9}">
        <x15:connection id="Table1-77ac7776-64fc-4c67-9173-11555782fb67">
          <x15:rangePr sourceName="_xlcn.WorksheetConnection_projektTI.xlsmTable11"/>
        </x15:connection>
      </ext>
    </extLst>
  </connection>
  <connection id="4" name="WorksheetConnection_projekt TI.xlsm!Table10" type="102" refreshedVersion="5" minRefreshableVersion="5">
    <extLst>
      <ext xmlns:x15="http://schemas.microsoft.com/office/spreadsheetml/2010/11/main" uri="{DE250136-89BD-433C-8126-D09CA5730AF9}">
        <x15:connection id="Table10-a3c561c5-c347-4c5a-804d-bcef269df008">
          <x15:rangePr sourceName="_xlcn.WorksheetConnection_projektTI.xlsmTable101"/>
        </x15:connection>
      </ext>
    </extLst>
  </connection>
</connections>
</file>

<file path=xl/sharedStrings.xml><?xml version="1.0" encoding="utf-8"?>
<sst xmlns="http://schemas.openxmlformats.org/spreadsheetml/2006/main" count="75" uniqueCount="43">
  <si>
    <t>Animator</t>
  </si>
  <si>
    <t>6+</t>
  </si>
  <si>
    <t>Grafik 2D</t>
  </si>
  <si>
    <t>Staż pracy (w latach)</t>
  </si>
  <si>
    <t>0-3</t>
  </si>
  <si>
    <t>Grafik 3D</t>
  </si>
  <si>
    <t>Grafik 2D (35 ankietowanych)</t>
  </si>
  <si>
    <t>Grafik 3D (36 ankietowanych)</t>
  </si>
  <si>
    <t>Animator (14 ankietowanych)</t>
  </si>
  <si>
    <t>Średnie zarobki grafików</t>
  </si>
  <si>
    <t>3 6</t>
  </si>
  <si>
    <t>Średnie zarobki programistów w Polsce</t>
  </si>
  <si>
    <t>Głowny programista</t>
  </si>
  <si>
    <t>Programista Gameplaya</t>
  </si>
  <si>
    <t>Programista silnika</t>
  </si>
  <si>
    <t xml:space="preserve"> Zarobki programistów w Polsce</t>
  </si>
  <si>
    <t>Staż pracy w latach</t>
  </si>
  <si>
    <t>Zarobki Grafików w Polsce</t>
  </si>
  <si>
    <t>Projektant Gry</t>
  </si>
  <si>
    <t>Projektant poziomów</t>
  </si>
  <si>
    <t>Średnie zarobki projektantów gier w Polsce</t>
  </si>
  <si>
    <t>Zarobki projektantów gier w Polsce</t>
  </si>
  <si>
    <t>Zarobki Pracowników</t>
  </si>
  <si>
    <t>Kadra zarządzająca</t>
  </si>
  <si>
    <t>Producent</t>
  </si>
  <si>
    <t>Tester</t>
  </si>
  <si>
    <t>Średnie zarobki pracowników</t>
  </si>
  <si>
    <t>Nazwa waluty</t>
  </si>
  <si>
    <t>Symbol</t>
  </si>
  <si>
    <t>Kurs</t>
  </si>
  <si>
    <t>Zmiana</t>
  </si>
  <si>
    <t>Dolar amerykański</t>
  </si>
  <si>
    <t>1 USD</t>
  </si>
  <si>
    <t>0.23%</t>
  </si>
  <si>
    <t>Euro</t>
  </si>
  <si>
    <t>1 EUR</t>
  </si>
  <si>
    <t>0.14%</t>
  </si>
  <si>
    <t>Zarobki programistów w USA</t>
  </si>
  <si>
    <t>-</t>
  </si>
  <si>
    <t>Średnie zarobki programistów w USA</t>
  </si>
  <si>
    <t>W USA Programista Gameplaya zarabia więcej</t>
  </si>
  <si>
    <t>Gdzie lepiej Płacą?</t>
  </si>
  <si>
    <t>W USA Programista silnika zarabia więcej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</si>
</sst>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zł&quot;_-;\-* #,##0.00\ &quot;zł&quot;_-;_-* &quot;-&quot;??\ &quot;zł&quot;_-;_-@_-"/>
    <numFmt numFmtId="164" formatCode="#,##0.00\ &quot;zł&quot;"/>
    <numFmt numFmtId="169" formatCode="[$$-409]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/>
    <xf numFmtId="44" fontId="0" fillId="0" borderId="0" xfId="0" applyNumberFormat="1" applyAlignment="1">
      <alignment horizontal="center" vertical="center"/>
    </xf>
    <xf numFmtId="0" fontId="0" fillId="0" borderId="1" xfId="0" applyBorder="1"/>
    <xf numFmtId="44" fontId="0" fillId="0" borderId="1" xfId="0" applyNumberFormat="1" applyBorder="1" applyAlignment="1">
      <alignment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16" fontId="1" fillId="3" borderId="0" xfId="0" applyNumberFormat="1" applyFont="1" applyFill="1" applyAlignment="1">
      <alignment horizontal="center" vertical="center"/>
    </xf>
    <xf numFmtId="164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5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center" textRotation="0" wrapText="1" indent="0" justifyLastLine="0" shrinkToFit="0" readingOrder="0"/>
    </dxf>
    <dxf>
      <numFmt numFmtId="169" formatCode="[$$-409]#,##0.00"/>
    </dxf>
    <dxf>
      <numFmt numFmtId="169" formatCode="[$$-409]#,##0.00"/>
    </dxf>
    <dxf>
      <numFmt numFmtId="169" formatCode="[$$-409]#,##0.00"/>
    </dxf>
    <dxf>
      <numFmt numFmtId="164" formatCode="#,##0.00\ &quot;zł&quot;"/>
      <alignment horizontal="center" vertical="center" textRotation="0" wrapText="0" indent="0" justifyLastLine="0" shrinkToFit="0" readingOrder="0"/>
    </dxf>
    <dxf>
      <numFmt numFmtId="164" formatCode="#,##0.00\ &quot;zł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* #,##0.00\ &quot;zł&quot;_-;\-* #,##0.00\ &quot;zł&quot;_-;_-* &quot;-&quot;??\ &quot;zł&quot;_-;_-@_-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* #,##0.00\ &quot;zł&quot;_-;\-* #,##0.00\ &quot;zł&quot;_-;_-* &quot;-&quot;??\ &quot;zł&quot;_-;_-@_-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\ &quot;zł&quot;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\ &quot;zł&quot;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\ &quot;zł&quot;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1" defaultTableStyle="TableStyleMedium2" defaultPivotStyle="PivotStyleMedium9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Zarobki programistów w Polsce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Programiści!$C$7</c:f>
              <c:strCache>
                <c:ptCount val="1"/>
                <c:pt idx="0">
                  <c:v>0-3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Programiści!$D$7:$F$7</c:f>
              <c:numCache>
                <c:formatCode>[$$-409]#\ ##0.00</c:formatCode>
                <c:ptCount val="3"/>
                <c:pt idx="0">
                  <c:v>1252.0943591925748</c:v>
                </c:pt>
                <c:pt idx="1">
                  <c:v>873.11507672668279</c:v>
                </c:pt>
                <c:pt idx="2">
                  <c:v>1146.2461104757851</c:v>
                </c:pt>
              </c:numCache>
            </c:numRef>
          </c:val>
        </c:ser>
        <c:ser>
          <c:idx val="2"/>
          <c:order val="2"/>
          <c:tx>
            <c:strRef>
              <c:f>Programiści!$C$8</c:f>
              <c:strCache>
                <c:ptCount val="1"/>
                <c:pt idx="0">
                  <c:v>3 6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Programiści!$D$8:$F$8</c:f>
              <c:numCache>
                <c:formatCode>[$$-409]#\ ##0.00</c:formatCode>
                <c:ptCount val="3"/>
                <c:pt idx="0">
                  <c:v>1439.3234222494082</c:v>
                </c:pt>
                <c:pt idx="1">
                  <c:v>1174.4368500837743</c:v>
                </c:pt>
                <c:pt idx="2">
                  <c:v>1296.5080715938407</c:v>
                </c:pt>
              </c:numCache>
            </c:numRef>
          </c:val>
        </c:ser>
        <c:ser>
          <c:idx val="3"/>
          <c:order val="3"/>
          <c:tx>
            <c:strRef>
              <c:f>Programiści!$C$9</c:f>
              <c:strCache>
                <c:ptCount val="1"/>
                <c:pt idx="0">
                  <c:v>6+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Programiści!$D$9:$F$9</c:f>
              <c:numCache>
                <c:formatCode>[$$-409]#\ ##0.00</c:formatCode>
                <c:ptCount val="3"/>
                <c:pt idx="0">
                  <c:v>1854.4719555330976</c:v>
                </c:pt>
                <c:pt idx="1">
                  <c:v>2473.3384750405576</c:v>
                </c:pt>
                <c:pt idx="2">
                  <c:v>2037.1798622377064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9836752"/>
        <c:axId val="1598373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Programiści!$C$6</c15:sqref>
                        </c15:formulaRef>
                      </c:ext>
                    </c:extLst>
                    <c:strCache>
                      <c:ptCount val="1"/>
                      <c:pt idx="0">
                        <c:v>Staż pracy w latach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hade val="51000"/>
                          <a:satMod val="130000"/>
                        </a:schemeClr>
                      </a:gs>
                      <a:gs pos="80000">
                        <a:schemeClr val="accent1">
                          <a:shade val="93000"/>
                          <a:satMod val="130000"/>
                        </a:schemeClr>
                      </a:gs>
                      <a:gs pos="100000">
                        <a:schemeClr val="accent1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Programiści!$D$6:$F$6</c15:sqref>
                        </c15:formulaRef>
                      </c:ext>
                    </c:extLst>
                    <c:strCache>
                      <c:ptCount val="3"/>
                      <c:pt idx="0">
                        <c:v>Głowny programista</c:v>
                      </c:pt>
                      <c:pt idx="1">
                        <c:v>Programista Gameplaya</c:v>
                      </c:pt>
                      <c:pt idx="2">
                        <c:v>Programista silnika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Programiści!$D$6:$F$6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983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837312"/>
        <c:crosses val="autoZero"/>
        <c:auto val="1"/>
        <c:lblAlgn val="ctr"/>
        <c:lblOffset val="100"/>
        <c:noMultiLvlLbl val="0"/>
      </c:catAx>
      <c:valAx>
        <c:axId val="1598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83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Zarobki</a:t>
            </a:r>
            <a:r>
              <a:rPr lang="pl-PL" baseline="0"/>
              <a:t> programistów w USA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Programiści!$C$15</c:f>
              <c:strCache>
                <c:ptCount val="1"/>
                <c:pt idx="0">
                  <c:v>0-3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Programiści!$D$14:$F$14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Programiści!$D$15:$F$15</c:f>
              <c:numCache>
                <c:formatCode>[$$-409]#\ 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5987.916666666667</c:v>
                </c:pt>
              </c:numCache>
            </c:numRef>
          </c:val>
        </c:ser>
        <c:ser>
          <c:idx val="1"/>
          <c:order val="1"/>
          <c:tx>
            <c:strRef>
              <c:f>Programiści!$C$16</c:f>
              <c:strCache>
                <c:ptCount val="1"/>
                <c:pt idx="0">
                  <c:v>3 6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Programiści!$D$14:$F$14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Programiści!$D$16:$F$16</c:f>
              <c:numCache>
                <c:formatCode>[$$-409]#\ ##0.00</c:formatCode>
                <c:ptCount val="3"/>
                <c:pt idx="0">
                  <c:v>0</c:v>
                </c:pt>
                <c:pt idx="1">
                  <c:v>7881.916666666667</c:v>
                </c:pt>
                <c:pt idx="2">
                  <c:v>6656.416666666667</c:v>
                </c:pt>
              </c:numCache>
            </c:numRef>
          </c:val>
        </c:ser>
        <c:ser>
          <c:idx val="2"/>
          <c:order val="2"/>
          <c:tx>
            <c:strRef>
              <c:f>Programiści!$C$17</c:f>
              <c:strCache>
                <c:ptCount val="1"/>
                <c:pt idx="0">
                  <c:v>6+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Programiści!$D$14:$F$14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Programiści!$D$17:$F$17</c:f>
              <c:numCache>
                <c:formatCode>[$$-409]#\ ##0.00</c:formatCode>
                <c:ptCount val="3"/>
                <c:pt idx="0">
                  <c:v>11315.083333333334</c:v>
                </c:pt>
                <c:pt idx="1">
                  <c:v>9679.25</c:v>
                </c:pt>
                <c:pt idx="2">
                  <c:v>8649.0833333333339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0135328"/>
        <c:axId val="575394080"/>
      </c:barChart>
      <c:catAx>
        <c:axId val="5013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75394080"/>
        <c:crosses val="autoZero"/>
        <c:auto val="1"/>
        <c:lblAlgn val="ctr"/>
        <c:lblOffset val="100"/>
        <c:noMultiLvlLbl val="0"/>
      </c:catAx>
      <c:valAx>
        <c:axId val="57539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13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Porównanie</a:t>
            </a:r>
            <a:r>
              <a:rPr lang="pl-PL" baseline="0"/>
              <a:t> zarobków Programistów w Polsce i USA</a:t>
            </a:r>
            <a:endParaRPr lang="pl-PL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Programiści!$C$7</c:f>
              <c:strCache>
                <c:ptCount val="1"/>
                <c:pt idx="0">
                  <c:v>0-3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Programiści!$D$7:$F$7</c:f>
              <c:numCache>
                <c:formatCode>[$$-409]#\ ##0.00</c:formatCode>
                <c:ptCount val="3"/>
                <c:pt idx="0">
                  <c:v>1252.0943591925748</c:v>
                </c:pt>
                <c:pt idx="1">
                  <c:v>873.11507672668279</c:v>
                </c:pt>
                <c:pt idx="2">
                  <c:v>1146.2461104757851</c:v>
                </c:pt>
              </c:numCache>
            </c:numRef>
          </c:val>
        </c:ser>
        <c:ser>
          <c:idx val="1"/>
          <c:order val="1"/>
          <c:tx>
            <c:strRef>
              <c:f>Programiści!$C$8</c:f>
              <c:strCache>
                <c:ptCount val="1"/>
                <c:pt idx="0">
                  <c:v>3 6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Programiści!$D$8:$F$8</c:f>
              <c:numCache>
                <c:formatCode>[$$-409]#\ ##0.00</c:formatCode>
                <c:ptCount val="3"/>
                <c:pt idx="0">
                  <c:v>1439.3234222494082</c:v>
                </c:pt>
                <c:pt idx="1">
                  <c:v>1174.4368500837743</c:v>
                </c:pt>
                <c:pt idx="2">
                  <c:v>1296.5080715938407</c:v>
                </c:pt>
              </c:numCache>
            </c:numRef>
          </c:val>
        </c:ser>
        <c:ser>
          <c:idx val="2"/>
          <c:order val="2"/>
          <c:tx>
            <c:strRef>
              <c:f>Programiści!$C$9</c:f>
              <c:strCache>
                <c:ptCount val="1"/>
                <c:pt idx="0">
                  <c:v>6+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Programiści!$D$9:$F$9</c:f>
              <c:numCache>
                <c:formatCode>[$$-409]#\ ##0.00</c:formatCode>
                <c:ptCount val="3"/>
                <c:pt idx="0">
                  <c:v>1854.4719555330976</c:v>
                </c:pt>
                <c:pt idx="1">
                  <c:v>2473.3384750405576</c:v>
                </c:pt>
                <c:pt idx="2">
                  <c:v>2037.1798622377064</c:v>
                </c:pt>
              </c:numCache>
            </c:numRef>
          </c:val>
        </c:ser>
        <c:ser>
          <c:idx val="4"/>
          <c:order val="4"/>
          <c:tx>
            <c:strRef>
              <c:f>Programiści!$C$15</c:f>
              <c:strCache>
                <c:ptCount val="1"/>
                <c:pt idx="0">
                  <c:v>0-3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Programiści!$D$15:$F$15</c:f>
              <c:numCache>
                <c:formatCode>[$$-409]#\ 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5987.916666666667</c:v>
                </c:pt>
              </c:numCache>
            </c:numRef>
          </c:val>
        </c:ser>
        <c:ser>
          <c:idx val="5"/>
          <c:order val="5"/>
          <c:tx>
            <c:strRef>
              <c:f>Programiści!$C$16</c:f>
              <c:strCache>
                <c:ptCount val="1"/>
                <c:pt idx="0">
                  <c:v>3 6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Programiści!$D$16:$F$16</c:f>
              <c:numCache>
                <c:formatCode>[$$-409]#\ ##0.00</c:formatCode>
                <c:ptCount val="3"/>
                <c:pt idx="0">
                  <c:v>0</c:v>
                </c:pt>
                <c:pt idx="1">
                  <c:v>7881.916666666667</c:v>
                </c:pt>
                <c:pt idx="2">
                  <c:v>6656.416666666667</c:v>
                </c:pt>
              </c:numCache>
            </c:numRef>
          </c:val>
        </c:ser>
        <c:ser>
          <c:idx val="6"/>
          <c:order val="6"/>
          <c:tx>
            <c:strRef>
              <c:f>Programiści!$C$17</c:f>
              <c:strCache>
                <c:ptCount val="1"/>
                <c:pt idx="0">
                  <c:v>6+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Programiści!$D$6:$F$6</c:f>
              <c:strCache>
                <c:ptCount val="3"/>
                <c:pt idx="0">
                  <c:v>Głowny programista</c:v>
                </c:pt>
                <c:pt idx="1">
                  <c:v>Programista Gameplaya</c:v>
                </c:pt>
                <c:pt idx="2">
                  <c:v>Programista silnika</c:v>
                </c:pt>
              </c:strCache>
            </c:strRef>
          </c:cat>
          <c:val>
            <c:numRef>
              <c:f>Programiści!$D$17:$F$17</c:f>
              <c:numCache>
                <c:formatCode>[$$-409]#\ ##0.00</c:formatCode>
                <c:ptCount val="3"/>
                <c:pt idx="0">
                  <c:v>11315.083333333334</c:v>
                </c:pt>
                <c:pt idx="1">
                  <c:v>9679.25</c:v>
                </c:pt>
                <c:pt idx="2">
                  <c:v>8649.0833333333339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23892256"/>
        <c:axId val="623884976"/>
        <c:axId val="34134852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Programiści!$C$14</c15:sqref>
                        </c15:formulaRef>
                      </c:ext>
                    </c:extLst>
                    <c:strCache>
                      <c:ptCount val="1"/>
                      <c:pt idx="0">
                        <c:v>Staż pracy w latach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hade val="51000"/>
                          <a:satMod val="130000"/>
                        </a:schemeClr>
                      </a:gs>
                      <a:gs pos="80000">
                        <a:schemeClr val="accent4">
                          <a:shade val="93000"/>
                          <a:satMod val="130000"/>
                        </a:schemeClr>
                      </a:gs>
                      <a:gs pos="100000">
                        <a:schemeClr val="accent4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Programiści!$D$6:$F$6</c15:sqref>
                        </c15:formulaRef>
                      </c:ext>
                    </c:extLst>
                    <c:strCache>
                      <c:ptCount val="3"/>
                      <c:pt idx="0">
                        <c:v>Głowny programista</c:v>
                      </c:pt>
                      <c:pt idx="1">
                        <c:v>Programista Gameplaya</c:v>
                      </c:pt>
                      <c:pt idx="2">
                        <c:v>Programista silnika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Programiści!$D$14:$F$14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val>
              </c15:ser>
            </c15:filteredBarSeries>
          </c:ext>
        </c:extLst>
      </c:bar3DChart>
      <c:catAx>
        <c:axId val="62389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23884976"/>
        <c:crosses val="autoZero"/>
        <c:auto val="1"/>
        <c:lblAlgn val="ctr"/>
        <c:lblOffset val="100"/>
        <c:noMultiLvlLbl val="0"/>
      </c:catAx>
      <c:valAx>
        <c:axId val="62388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23892256"/>
        <c:crosses val="autoZero"/>
        <c:crossBetween val="between"/>
      </c:valAx>
      <c:serAx>
        <c:axId val="341348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23884976"/>
        <c:crosses val="autoZero"/>
      </c:ser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Projektanci!$D$7</c:f>
              <c:strCache>
                <c:ptCount val="1"/>
                <c:pt idx="0">
                  <c:v>Staż pracy w latach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Projektanci!$E$7:$F$7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Projektanci!$D$8</c:f>
              <c:strCache>
                <c:ptCount val="1"/>
                <c:pt idx="0">
                  <c:v>0-3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Projektanci!$E$8:$F$8</c:f>
              <c:numCache>
                <c:formatCode>_("zł"* #,##0.00_);_("zł"* \(#,##0.00\);_("zł"* "-"??_);_(@_)</c:formatCode>
                <c:ptCount val="2"/>
                <c:pt idx="0">
                  <c:v>3474</c:v>
                </c:pt>
                <c:pt idx="1">
                  <c:v>3062</c:v>
                </c:pt>
              </c:numCache>
            </c:numRef>
          </c:val>
        </c:ser>
        <c:ser>
          <c:idx val="2"/>
          <c:order val="2"/>
          <c:tx>
            <c:strRef>
              <c:f>Projektanci!$D$9</c:f>
              <c:strCache>
                <c:ptCount val="1"/>
                <c:pt idx="0">
                  <c:v>3 6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Projektanci!$E$9:$F$9</c:f>
              <c:numCache>
                <c:formatCode>_("zł"* #,##0.00_);_("zł"* \(#,##0.00\);_("zł"* "-"??_);_(@_)</c:formatCode>
                <c:ptCount val="2"/>
                <c:pt idx="0">
                  <c:v>4356</c:v>
                </c:pt>
                <c:pt idx="1">
                  <c:v>4330</c:v>
                </c:pt>
              </c:numCache>
            </c:numRef>
          </c:val>
        </c:ser>
        <c:ser>
          <c:idx val="3"/>
          <c:order val="3"/>
          <c:tx>
            <c:strRef>
              <c:f>Projektanci!$D$10</c:f>
              <c:strCache>
                <c:ptCount val="1"/>
                <c:pt idx="0">
                  <c:v>6+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Projektanci!$E$10:$F$10</c:f>
              <c:numCache>
                <c:formatCode>_("zł"* #,##0.00_);_("zł"* \(#,##0.00\);_("zł"* "-"??_);_(@_)</c:formatCode>
                <c:ptCount val="2"/>
                <c:pt idx="0">
                  <c:v>4780</c:v>
                </c:pt>
                <c:pt idx="1">
                  <c:v>7620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9839552"/>
        <c:axId val="159840112"/>
      </c:barChart>
      <c:catAx>
        <c:axId val="1598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840112"/>
        <c:crosses val="autoZero"/>
        <c:auto val="1"/>
        <c:lblAlgn val="ctr"/>
        <c:lblOffset val="100"/>
        <c:noMultiLvlLbl val="0"/>
      </c:catAx>
      <c:valAx>
        <c:axId val="1598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83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Zarobki Pracowników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'Pozostali pracownicy'!$D$7:$D$10</c15:sqref>
                  </c15:fullRef>
                </c:ext>
              </c:extLst>
              <c:f>'Pozostali pracownicy'!$D$8:$D$10</c:f>
              <c:strCache>
                <c:ptCount val="3"/>
                <c:pt idx="0">
                  <c:v>0-3</c:v>
                </c:pt>
                <c:pt idx="1">
                  <c:v>3 6</c:v>
                </c:pt>
                <c:pt idx="2">
                  <c:v>6+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'Pozostali pracownicy'!$E$7:$E$10</c15:sqref>
                  </c15:fullRef>
                </c:ext>
              </c:extLst>
              <c:f>'Pozostali pracownicy'!$E$8:$E$10</c:f>
              <c:numCache>
                <c:formatCode>#\ ##0.00\ "zł"</c:formatCode>
                <c:ptCount val="3"/>
                <c:pt idx="0">
                  <c:v>3967</c:v>
                </c:pt>
                <c:pt idx="1">
                  <c:v>8000</c:v>
                </c:pt>
                <c:pt idx="2">
                  <c:v>7614</c:v>
                </c:pt>
              </c:numCache>
            </c:numRef>
          </c:val>
        </c:ser>
        <c:ser>
          <c:idx val="1"/>
          <c:order val="1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'Pozostali pracownicy'!$D$7:$D$10</c15:sqref>
                  </c15:fullRef>
                </c:ext>
              </c:extLst>
              <c:f>'Pozostali pracownicy'!$D$8:$D$10</c:f>
              <c:strCache>
                <c:ptCount val="3"/>
                <c:pt idx="0">
                  <c:v>0-3</c:v>
                </c:pt>
                <c:pt idx="1">
                  <c:v>3 6</c:v>
                </c:pt>
                <c:pt idx="2">
                  <c:v>6+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'Pozostali pracownicy'!$F$7:$F$10</c15:sqref>
                  </c15:fullRef>
                </c:ext>
              </c:extLst>
              <c:f>'Pozostali pracownicy'!$F$8:$F$10</c:f>
              <c:numCache>
                <c:formatCode>#\ ##0.00\ "zł"</c:formatCode>
                <c:ptCount val="3"/>
                <c:pt idx="0">
                  <c:v>3288</c:v>
                </c:pt>
                <c:pt idx="1">
                  <c:v>4716</c:v>
                </c:pt>
                <c:pt idx="2">
                  <c:v>6337</c:v>
                </c:pt>
              </c:numCache>
            </c:numRef>
          </c:val>
        </c:ser>
        <c:ser>
          <c:idx val="2"/>
          <c:order val="2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'Pozostali pracownicy'!$D$7:$D$10</c15:sqref>
                  </c15:fullRef>
                </c:ext>
              </c:extLst>
              <c:f>'Pozostali pracownicy'!$D$8:$D$10</c:f>
              <c:strCache>
                <c:ptCount val="3"/>
                <c:pt idx="0">
                  <c:v>0-3</c:v>
                </c:pt>
                <c:pt idx="1">
                  <c:v>3 6</c:v>
                </c:pt>
                <c:pt idx="2">
                  <c:v>6+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'Pozostali pracownicy'!$G$7:$G$10</c15:sqref>
                  </c15:fullRef>
                </c:ext>
              </c:extLst>
              <c:f>'Pozostali pracownicy'!$G$8:$G$10</c:f>
              <c:numCache>
                <c:formatCode>#\ ##0.00\ "zł"</c:formatCode>
                <c:ptCount val="3"/>
                <c:pt idx="0">
                  <c:v>2139</c:v>
                </c:pt>
                <c:pt idx="1">
                  <c:v>4162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4784384"/>
        <c:axId val="84783264"/>
      </c:barChart>
      <c:catAx>
        <c:axId val="8478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4783264"/>
        <c:crosses val="autoZero"/>
        <c:auto val="1"/>
        <c:lblAlgn val="ctr"/>
        <c:lblOffset val="100"/>
        <c:noMultiLvlLbl val="0"/>
      </c:catAx>
      <c:valAx>
        <c:axId val="8478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478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Zarobki Grafików w Polsce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Graficy!$B$7</c:f>
              <c:strCache>
                <c:ptCount val="1"/>
                <c:pt idx="0">
                  <c:v>0-3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Graficy!$C$6:$E$6</c:f>
              <c:strCache>
                <c:ptCount val="3"/>
                <c:pt idx="0">
                  <c:v>Animator (14 ankietowanych)</c:v>
                </c:pt>
                <c:pt idx="1">
                  <c:v>Grafik 2D (35 ankietowanych)</c:v>
                </c:pt>
                <c:pt idx="2">
                  <c:v>Grafik 3D (36 ankietowanych)</c:v>
                </c:pt>
              </c:strCache>
            </c:strRef>
          </c:cat>
          <c:val>
            <c:numRef>
              <c:f>Graficy!$C$7:$E$7</c:f>
              <c:numCache>
                <c:formatCode>#\ ##0.00\ "zł"</c:formatCode>
                <c:ptCount val="3"/>
                <c:pt idx="0">
                  <c:v>4100</c:v>
                </c:pt>
                <c:pt idx="1">
                  <c:v>3046</c:v>
                </c:pt>
                <c:pt idx="2">
                  <c:v>3340</c:v>
                </c:pt>
              </c:numCache>
            </c:numRef>
          </c:val>
        </c:ser>
        <c:ser>
          <c:idx val="2"/>
          <c:order val="2"/>
          <c:tx>
            <c:strRef>
              <c:f>Graficy!$B$8</c:f>
              <c:strCache>
                <c:ptCount val="1"/>
                <c:pt idx="0">
                  <c:v>3 6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Graficy!$C$6:$E$6</c:f>
              <c:strCache>
                <c:ptCount val="3"/>
                <c:pt idx="0">
                  <c:v>Animator (14 ankietowanych)</c:v>
                </c:pt>
                <c:pt idx="1">
                  <c:v>Grafik 2D (35 ankietowanych)</c:v>
                </c:pt>
                <c:pt idx="2">
                  <c:v>Grafik 3D (36 ankietowanych)</c:v>
                </c:pt>
              </c:strCache>
            </c:strRef>
          </c:cat>
          <c:val>
            <c:numRef>
              <c:f>Graficy!$C$8:$E$8</c:f>
              <c:numCache>
                <c:formatCode>#\ ##0.00\ "zł"</c:formatCode>
                <c:ptCount val="3"/>
                <c:pt idx="0">
                  <c:v>3592</c:v>
                </c:pt>
                <c:pt idx="1">
                  <c:v>3143</c:v>
                </c:pt>
                <c:pt idx="2">
                  <c:v>4558</c:v>
                </c:pt>
              </c:numCache>
            </c:numRef>
          </c:val>
        </c:ser>
        <c:ser>
          <c:idx val="3"/>
          <c:order val="3"/>
          <c:tx>
            <c:strRef>
              <c:f>Graficy!$B$9</c:f>
              <c:strCache>
                <c:ptCount val="1"/>
                <c:pt idx="0">
                  <c:v>6+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Graficy!$C$6:$E$6</c:f>
              <c:strCache>
                <c:ptCount val="3"/>
                <c:pt idx="0">
                  <c:v>Animator (14 ankietowanych)</c:v>
                </c:pt>
                <c:pt idx="1">
                  <c:v>Grafik 2D (35 ankietowanych)</c:v>
                </c:pt>
                <c:pt idx="2">
                  <c:v>Grafik 3D (36 ankietowanych)</c:v>
                </c:pt>
              </c:strCache>
            </c:strRef>
          </c:cat>
          <c:val>
            <c:numRef>
              <c:f>Graficy!$C$9:$E$9</c:f>
              <c:numCache>
                <c:formatCode>#\ ##0.00\ "zł"</c:formatCode>
                <c:ptCount val="3"/>
                <c:pt idx="0">
                  <c:v>7575</c:v>
                </c:pt>
                <c:pt idx="1">
                  <c:v>9821</c:v>
                </c:pt>
                <c:pt idx="2">
                  <c:v>6084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9612656"/>
        <c:axId val="159613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Graficy!$B$6</c15:sqref>
                        </c15:formulaRef>
                      </c:ext>
                    </c:extLst>
                    <c:strCache>
                      <c:ptCount val="1"/>
                      <c:pt idx="0">
                        <c:v>Staż pracy (w latach)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hade val="51000"/>
                          <a:satMod val="130000"/>
                        </a:schemeClr>
                      </a:gs>
                      <a:gs pos="80000">
                        <a:schemeClr val="accent1">
                          <a:shade val="93000"/>
                          <a:satMod val="130000"/>
                        </a:schemeClr>
                      </a:gs>
                      <a:gs pos="100000">
                        <a:schemeClr val="accent1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Graficy!$C$6:$E$6</c15:sqref>
                        </c15:formulaRef>
                      </c:ext>
                    </c:extLst>
                    <c:strCache>
                      <c:ptCount val="3"/>
                      <c:pt idx="0">
                        <c:v>Animator (14 ankietowanych)</c:v>
                      </c:pt>
                      <c:pt idx="1">
                        <c:v>Grafik 2D (35 ankietowanych)</c:v>
                      </c:pt>
                      <c:pt idx="2">
                        <c:v>Grafik 3D (36 ankietowanych)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Graficy!$C$6:$E$6</c15:sqref>
                        </c15:formulaRef>
                      </c:ext>
                    </c:extLst>
                    <c:numCache>
                      <c:formatCode>@</c:formatCode>
                      <c:ptCount val="3"/>
                      <c:pt idx="0" formatCode="General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961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613216"/>
        <c:crosses val="autoZero"/>
        <c:auto val="1"/>
        <c:lblAlgn val="ctr"/>
        <c:lblOffset val="100"/>
        <c:noMultiLvlLbl val="0"/>
      </c:catAx>
      <c:valAx>
        <c:axId val="1596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zł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61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128587</xdr:colOff>
      <xdr:row>1</xdr:row>
      <xdr:rowOff>4763</xdr:rowOff>
    </xdr:from>
    <xdr:to>
      <xdr:col>15</xdr:col>
      <xdr:colOff>433387</xdr:colOff>
      <xdr:row>13</xdr:row>
      <xdr:rowOff>295276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190500</xdr:rowOff>
        </xdr:from>
        <xdr:to>
          <xdr:col>6</xdr:col>
          <xdr:colOff>590550</xdr:colOff>
          <xdr:row>17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Przelicz na Dolary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5</xdr:row>
          <xdr:rowOff>19050</xdr:rowOff>
        </xdr:from>
        <xdr:to>
          <xdr:col>8</xdr:col>
          <xdr:colOff>0</xdr:colOff>
          <xdr:row>17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Przelicz na Złotówki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47624</xdr:colOff>
      <xdr:row>13</xdr:row>
      <xdr:rowOff>433387</xdr:rowOff>
    </xdr:from>
    <xdr:to>
      <xdr:col>15</xdr:col>
      <xdr:colOff>466724</xdr:colOff>
      <xdr:row>27</xdr:row>
      <xdr:rowOff>52387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247650</xdr:colOff>
      <xdr:row>3</xdr:row>
      <xdr:rowOff>23811</xdr:rowOff>
    </xdr:from>
    <xdr:to>
      <xdr:col>24</xdr:col>
      <xdr:colOff>571500</xdr:colOff>
      <xdr:row>25</xdr:row>
      <xdr:rowOff>190499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5</xdr:row>
      <xdr:rowOff>176212</xdr:rowOff>
    </xdr:from>
    <xdr:to>
      <xdr:col>15</xdr:col>
      <xdr:colOff>566737</xdr:colOff>
      <xdr:row>19</xdr:row>
      <xdr:rowOff>61912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3</xdr:row>
      <xdr:rowOff>9525</xdr:rowOff>
    </xdr:from>
    <xdr:to>
      <xdr:col>15</xdr:col>
      <xdr:colOff>309562</xdr:colOff>
      <xdr:row>16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1</xdr:row>
      <xdr:rowOff>19050</xdr:rowOff>
    </xdr:from>
    <xdr:to>
      <xdr:col>14</xdr:col>
      <xdr:colOff>161925</xdr:colOff>
      <xdr:row>13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kursy-walut.mybank.pl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0" name="Table10" displayName="Table10" ref="C6:F9" headerRowCount="0" totalsRowShown="0" headerRowDxfId="56" dataDxfId="55">
  <tableColumns count="4">
    <tableColumn id="1" name="Column1" headerRowDxfId="54"/>
    <tableColumn id="2" name="Column2" headerRowDxfId="53" dataDxfId="52"/>
    <tableColumn id="3" name="Column3" headerRowDxfId="51" dataDxfId="50"/>
    <tableColumn id="4" name="Column4" headerRowDxfId="49" dataDxfId="48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C14:F17" headerRowCount="0" totalsRowShown="0" headerRowDxfId="12">
  <tableColumns count="4">
    <tableColumn id="1" name="Column1" headerRowDxfId="8"/>
    <tableColumn id="2" name="Column2" headerRowDxfId="9" dataDxfId="15"/>
    <tableColumn id="3" name="Column3" headerRowDxfId="10" dataDxfId="14"/>
    <tableColumn id="4" name="Column4" headerRowDxfId="11" dataDxfId="13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id="13" name="Table13" displayName="Table13" ref="D7:F10" headerRowCount="0" totalsRowShown="0" headerRowDxfId="47">
  <tableColumns count="3">
    <tableColumn id="1" name="Column1" headerRowDxfId="46" dataDxfId="45"/>
    <tableColumn id="2" name="Column2" headerRowDxfId="44" dataDxfId="43"/>
    <tableColumn id="3" name="Column3" headerRowDxfId="42" dataDxfId="41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D7:G10" headerRowCount="0" totalsRowShown="0" headerRowDxfId="40" dataDxfId="39">
  <tableColumns count="4">
    <tableColumn id="1" name="Column1" headerRowDxfId="38" dataDxfId="37"/>
    <tableColumn id="2" name="Column2" headerRowDxfId="36" dataDxfId="35"/>
    <tableColumn id="3" name="Column3" headerRowDxfId="34" dataDxfId="33"/>
    <tableColumn id="4" name="Column4" headerRowDxfId="32" dataDxfId="31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B6:E9" headerRowCount="0" totalsRowShown="0" headerRowBorderDxfId="30" tableBorderDxfId="29" totalsRowBorderDxfId="28">
  <tableColumns count="4">
    <tableColumn id="1" name="Column1" headerRowDxfId="27" dataDxfId="26"/>
    <tableColumn id="2" name="Column2" headerRowDxfId="25" dataDxfId="24"/>
    <tableColumn id="3" name="Column3" headerRowDxfId="23" dataDxfId="22"/>
    <tableColumn id="4" name="Column4" headerRowDxfId="21" dataDxfId="20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B14:C16" headerRowCount="0" totalsRowShown="0">
  <tableColumns count="2">
    <tableColumn id="1" name="Column1" headerRowDxfId="19" dataDxfId="18"/>
    <tableColumn id="2" name="Column2" headerRowDxfId="17" dataDxfId="16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5:O38"/>
  <sheetViews>
    <sheetView tabSelected="1" zoomScale="85" zoomScaleNormal="85" workbookViewId="0">
      <selection activeCell="H38" sqref="H38"/>
    </sheetView>
  </sheetViews>
  <sheetFormatPr defaultRowHeight="15" x14ac:dyDescent="0.25"/>
  <cols>
    <col min="3" max="3" width="11.7109375" customWidth="1"/>
    <col min="4" max="4" width="16.42578125" customWidth="1"/>
    <col min="5" max="5" width="15.42578125" customWidth="1"/>
    <col min="6" max="6" width="17.5703125" customWidth="1"/>
    <col min="10" max="10" width="19.7109375" bestFit="1" customWidth="1"/>
    <col min="11" max="11" width="9.42578125" bestFit="1" customWidth="1"/>
    <col min="12" max="12" width="7" customWidth="1"/>
    <col min="13" max="13" width="7.42578125" customWidth="1"/>
    <col min="15" max="15" width="10.85546875" bestFit="1" customWidth="1"/>
  </cols>
  <sheetData>
    <row r="5" spans="3:8" ht="15.75" customHeight="1" x14ac:dyDescent="0.25">
      <c r="C5" s="21" t="s">
        <v>15</v>
      </c>
      <c r="D5" s="21"/>
      <c r="E5" s="21"/>
      <c r="F5" s="21"/>
    </row>
    <row r="6" spans="3:8" ht="30" x14ac:dyDescent="0.25">
      <c r="C6" s="1" t="s">
        <v>16</v>
      </c>
      <c r="D6" s="1" t="s">
        <v>12</v>
      </c>
      <c r="E6" s="1" t="s">
        <v>13</v>
      </c>
      <c r="F6" s="1" t="s">
        <v>14</v>
      </c>
      <c r="G6" s="21"/>
      <c r="H6" s="21"/>
    </row>
    <row r="7" spans="3:8" x14ac:dyDescent="0.25">
      <c r="C7" s="3" t="s">
        <v>4</v>
      </c>
      <c r="D7" s="32">
        <f>4708/L37</f>
        <v>1252.0943591925748</v>
      </c>
      <c r="E7" s="32">
        <f>3283/L37</f>
        <v>873.11507672668279</v>
      </c>
      <c r="F7" s="32">
        <f>4310/L37</f>
        <v>1146.2461104757851</v>
      </c>
      <c r="G7" s="21"/>
      <c r="H7" s="21"/>
    </row>
    <row r="8" spans="3:8" x14ac:dyDescent="0.25">
      <c r="C8" s="4" t="s">
        <v>10</v>
      </c>
      <c r="D8" s="32">
        <f>5412/L37</f>
        <v>1439.3234222494082</v>
      </c>
      <c r="E8" s="32">
        <f>4416/L37</f>
        <v>1174.4368500837743</v>
      </c>
      <c r="F8" s="32">
        <f>4875/L37</f>
        <v>1296.5080715938407</v>
      </c>
      <c r="G8" s="21"/>
      <c r="H8" s="21"/>
    </row>
    <row r="9" spans="3:8" x14ac:dyDescent="0.25">
      <c r="C9" s="3" t="s">
        <v>1</v>
      </c>
      <c r="D9" s="32">
        <f>6973/L37</f>
        <v>1854.4719555330976</v>
      </c>
      <c r="E9" s="32">
        <f>9300/L37</f>
        <v>2473.3384750405576</v>
      </c>
      <c r="F9" s="32">
        <f>7660/L37</f>
        <v>2037.1798622377064</v>
      </c>
      <c r="G9" s="21"/>
      <c r="H9" s="21"/>
    </row>
    <row r="10" spans="3:8" x14ac:dyDescent="0.25">
      <c r="G10" s="21"/>
      <c r="H10" s="21"/>
    </row>
    <row r="11" spans="3:8" x14ac:dyDescent="0.25">
      <c r="G11" s="21"/>
      <c r="H11" s="21"/>
    </row>
    <row r="12" spans="3:8" x14ac:dyDescent="0.25">
      <c r="G12" s="21"/>
      <c r="H12" s="21"/>
    </row>
    <row r="13" spans="3:8" x14ac:dyDescent="0.25">
      <c r="C13" s="21" t="s">
        <v>37</v>
      </c>
      <c r="D13" s="21"/>
      <c r="E13" s="21"/>
      <c r="F13" s="21"/>
      <c r="G13" s="21"/>
      <c r="H13" s="21"/>
    </row>
    <row r="14" spans="3:8" ht="51" customHeight="1" x14ac:dyDescent="0.25">
      <c r="C14" s="28" t="s">
        <v>16</v>
      </c>
      <c r="D14" s="28" t="s">
        <v>12</v>
      </c>
      <c r="E14" s="28" t="s">
        <v>13</v>
      </c>
      <c r="F14" s="28" t="s">
        <v>14</v>
      </c>
      <c r="G14" s="21"/>
      <c r="H14" s="21"/>
    </row>
    <row r="15" spans="3:8" x14ac:dyDescent="0.25">
      <c r="C15" s="29" t="s">
        <v>4</v>
      </c>
      <c r="D15" s="33" t="s">
        <v>38</v>
      </c>
      <c r="E15" s="33" t="s">
        <v>38</v>
      </c>
      <c r="F15" s="33">
        <f>(71855/12)</f>
        <v>5987.916666666667</v>
      </c>
      <c r="G15" s="21"/>
      <c r="H15" s="21"/>
    </row>
    <row r="16" spans="3:8" x14ac:dyDescent="0.25">
      <c r="C16" s="30" t="s">
        <v>10</v>
      </c>
      <c r="D16" s="33" t="s">
        <v>38</v>
      </c>
      <c r="E16" s="33">
        <f>(94583/12)</f>
        <v>7881.916666666667</v>
      </c>
      <c r="F16" s="33">
        <f>(79877/12)</f>
        <v>6656.416666666667</v>
      </c>
      <c r="G16" s="21"/>
      <c r="H16" s="21"/>
    </row>
    <row r="17" spans="3:15" x14ac:dyDescent="0.25">
      <c r="C17" s="29" t="s">
        <v>1</v>
      </c>
      <c r="D17" s="33">
        <f>(135781/12)</f>
        <v>11315.083333333334</v>
      </c>
      <c r="E17" s="33">
        <f>(116151/12)</f>
        <v>9679.25</v>
      </c>
      <c r="F17" s="33">
        <f>(103789/12)</f>
        <v>8649.0833333333339</v>
      </c>
      <c r="G17" s="21"/>
      <c r="H17" s="21"/>
    </row>
    <row r="20" spans="3:15" x14ac:dyDescent="0.25">
      <c r="O20" s="31"/>
    </row>
    <row r="29" spans="3:15" x14ac:dyDescent="0.25">
      <c r="C29" s="34" t="s">
        <v>11</v>
      </c>
      <c r="D29" s="35"/>
      <c r="E29" s="36"/>
      <c r="F29" s="3"/>
      <c r="G29" s="25" t="s">
        <v>39</v>
      </c>
      <c r="H29" s="26"/>
      <c r="I29" s="26"/>
      <c r="J29" s="27"/>
    </row>
    <row r="30" spans="3:15" x14ac:dyDescent="0.25">
      <c r="C30" s="34" t="s">
        <v>12</v>
      </c>
      <c r="D30" s="36"/>
      <c r="E30" s="41">
        <f>AVERAGE(D7:D9)</f>
        <v>1515.2965789916934</v>
      </c>
      <c r="F30" s="3"/>
      <c r="G30" s="22" t="s">
        <v>12</v>
      </c>
      <c r="H30" s="22"/>
      <c r="I30" s="22"/>
      <c r="J30" s="40" t="s">
        <v>38</v>
      </c>
    </row>
    <row r="31" spans="3:15" x14ac:dyDescent="0.25">
      <c r="C31" s="34" t="s">
        <v>13</v>
      </c>
      <c r="D31" s="36"/>
      <c r="E31" s="41">
        <f>AVERAGE(E7:E10)</f>
        <v>1506.9634672836717</v>
      </c>
      <c r="F31" s="3"/>
      <c r="G31" s="22" t="s">
        <v>13</v>
      </c>
      <c r="H31" s="22"/>
      <c r="I31" s="22"/>
      <c r="J31" s="40">
        <f>AVERAGE(E16:E17)</f>
        <v>8780.5833333333339</v>
      </c>
    </row>
    <row r="32" spans="3:15" x14ac:dyDescent="0.25">
      <c r="C32" s="34" t="s">
        <v>14</v>
      </c>
      <c r="D32" s="36"/>
      <c r="E32" s="41">
        <f>AVERAGE(F7:F9)</f>
        <v>1493.3113481024441</v>
      </c>
      <c r="F32" s="3"/>
      <c r="G32" s="22" t="s">
        <v>14</v>
      </c>
      <c r="H32" s="22"/>
      <c r="I32" s="22"/>
      <c r="J32" s="40">
        <f>AVERAGE(F15:F17)</f>
        <v>7097.8055555555557</v>
      </c>
    </row>
    <row r="35" spans="3:13" x14ac:dyDescent="0.25">
      <c r="C35" s="37" t="s">
        <v>41</v>
      </c>
      <c r="D35" s="38"/>
      <c r="E35" s="39"/>
    </row>
    <row r="36" spans="3:13" x14ac:dyDescent="0.25">
      <c r="C36" s="37" t="s">
        <v>40</v>
      </c>
      <c r="D36" s="38"/>
      <c r="E36" s="39"/>
      <c r="J36" s="19" t="s">
        <v>27</v>
      </c>
      <c r="K36" s="19" t="s">
        <v>28</v>
      </c>
      <c r="L36" s="19" t="s">
        <v>29</v>
      </c>
      <c r="M36" s="19" t="s">
        <v>30</v>
      </c>
    </row>
    <row r="37" spans="3:13" x14ac:dyDescent="0.25">
      <c r="C37" s="37" t="s">
        <v>42</v>
      </c>
      <c r="D37" s="38"/>
      <c r="E37" s="39"/>
      <c r="J37" s="19" t="s">
        <v>31</v>
      </c>
      <c r="K37" s="19" t="s">
        <v>32</v>
      </c>
      <c r="L37" s="19">
        <v>3.7601</v>
      </c>
      <c r="M37" s="19" t="s">
        <v>33</v>
      </c>
    </row>
    <row r="38" spans="3:13" x14ac:dyDescent="0.25">
      <c r="J38" s="19" t="s">
        <v>34</v>
      </c>
      <c r="K38" s="19" t="s">
        <v>35</v>
      </c>
      <c r="L38" s="19">
        <v>4.2293000000000003</v>
      </c>
      <c r="M38" s="19" t="s">
        <v>36</v>
      </c>
    </row>
  </sheetData>
  <dataConsolidate/>
  <mergeCells count="15">
    <mergeCell ref="C36:E36"/>
    <mergeCell ref="C35:E35"/>
    <mergeCell ref="C37:E37"/>
    <mergeCell ref="G29:J29"/>
    <mergeCell ref="G6:G17"/>
    <mergeCell ref="H6:H17"/>
    <mergeCell ref="C32:D32"/>
    <mergeCell ref="C31:D31"/>
    <mergeCell ref="C30:D30"/>
    <mergeCell ref="C29:E29"/>
    <mergeCell ref="G30:I30"/>
    <mergeCell ref="G31:I31"/>
    <mergeCell ref="G32:I32"/>
    <mergeCell ref="C5:F5"/>
    <mergeCell ref="C13:F13"/>
  </mergeCells>
  <conditionalFormatting sqref="M37">
    <cfRule type="cellIs" dxfId="7" priority="8" operator="greaterThan">
      <formula>0</formula>
    </cfRule>
    <cfRule type="cellIs" dxfId="6" priority="6" operator="lessThan">
      <formula>0</formula>
    </cfRule>
  </conditionalFormatting>
  <conditionalFormatting sqref="M38">
    <cfRule type="cellIs" dxfId="5" priority="7" operator="greaterThan">
      <formula>0</formula>
    </cfRule>
    <cfRule type="cellIs" dxfId="4" priority="5" operator="lessThan">
      <formula>0</formula>
    </cfRule>
  </conditionalFormatting>
  <conditionalFormatting sqref="C36:E36">
    <cfRule type="containsText" dxfId="3" priority="4" operator="containsText" text="USA">
      <formula>NOT(ISERROR(SEARCH("USA",C36)))</formula>
    </cfRule>
    <cfRule type="containsText" dxfId="2" priority="2" operator="containsText" text="Polsce">
      <formula>NOT(ISERROR(SEARCH("Polsce",C36)))</formula>
    </cfRule>
  </conditionalFormatting>
  <conditionalFormatting sqref="C37:E37">
    <cfRule type="containsText" dxfId="0" priority="3" operator="containsText" text="USA">
      <formula>NOT(ISERROR(SEARCH("USA",C37)))</formula>
    </cfRule>
    <cfRule type="containsText" dxfId="1" priority="1" operator="containsText" text="Polsce">
      <formula>NOT(ISERROR(SEARCH("Polsce",C37)))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8">
                <anchor moveWithCells="1" sizeWithCells="1">
                  <from>
                    <xdr:col>6</xdr:col>
                    <xdr:colOff>9525</xdr:colOff>
                    <xdr:row>4</xdr:row>
                    <xdr:rowOff>190500</xdr:rowOff>
                  </from>
                  <to>
                    <xdr:col>6</xdr:col>
                    <xdr:colOff>590550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RACAM">
                <anchor moveWithCells="1" sizeWithCells="1">
                  <from>
                    <xdr:col>7</xdr:col>
                    <xdr:colOff>28575</xdr:colOff>
                    <xdr:row>5</xdr:row>
                    <xdr:rowOff>19050</xdr:rowOff>
                  </from>
                  <to>
                    <xdr:col>8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6:F19"/>
  <sheetViews>
    <sheetView topLeftCell="B1" workbookViewId="0">
      <selection activeCell="G27" sqref="G27"/>
    </sheetView>
  </sheetViews>
  <sheetFormatPr defaultRowHeight="15" x14ac:dyDescent="0.25"/>
  <cols>
    <col min="4" max="4" width="20.28515625" customWidth="1"/>
    <col min="5" max="5" width="19.5703125" customWidth="1"/>
    <col min="6" max="6" width="16.85546875" customWidth="1"/>
  </cols>
  <sheetData>
    <row r="6" spans="4:6" x14ac:dyDescent="0.25">
      <c r="D6" s="21" t="s">
        <v>21</v>
      </c>
      <c r="E6" s="21"/>
      <c r="F6" s="21"/>
    </row>
    <row r="7" spans="4:6" ht="30" x14ac:dyDescent="0.25">
      <c r="D7" s="1" t="s">
        <v>16</v>
      </c>
      <c r="E7" s="1" t="s">
        <v>18</v>
      </c>
      <c r="F7" s="1" t="s">
        <v>19</v>
      </c>
    </row>
    <row r="8" spans="4:6" x14ac:dyDescent="0.25">
      <c r="D8" s="3" t="s">
        <v>4</v>
      </c>
      <c r="E8" s="18">
        <v>3474</v>
      </c>
      <c r="F8" s="18">
        <v>3062</v>
      </c>
    </row>
    <row r="9" spans="4:6" x14ac:dyDescent="0.25">
      <c r="D9" s="3" t="s">
        <v>10</v>
      </c>
      <c r="E9" s="18">
        <v>4356</v>
      </c>
      <c r="F9" s="18">
        <v>4330</v>
      </c>
    </row>
    <row r="10" spans="4:6" x14ac:dyDescent="0.25">
      <c r="D10" s="3" t="s">
        <v>1</v>
      </c>
      <c r="E10" s="18">
        <v>4780</v>
      </c>
      <c r="F10" s="18">
        <v>7620</v>
      </c>
    </row>
    <row r="17" spans="4:6" x14ac:dyDescent="0.25">
      <c r="D17" s="23" t="s">
        <v>20</v>
      </c>
      <c r="E17" s="23"/>
      <c r="F17" s="17"/>
    </row>
    <row r="18" spans="4:6" x14ac:dyDescent="0.25">
      <c r="D18" s="19" t="s">
        <v>18</v>
      </c>
      <c r="E18" s="20">
        <f>AVERAGE(E8:E10)</f>
        <v>4203.333333333333</v>
      </c>
      <c r="F18" s="2"/>
    </row>
    <row r="19" spans="4:6" x14ac:dyDescent="0.25">
      <c r="D19" s="19" t="s">
        <v>19</v>
      </c>
      <c r="E19" s="20">
        <f>AVERAGE(F8:F10)</f>
        <v>5004</v>
      </c>
      <c r="F19" s="2"/>
    </row>
  </sheetData>
  <mergeCells count="2">
    <mergeCell ref="D6:F6"/>
    <mergeCell ref="D17:E17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6:G18"/>
  <sheetViews>
    <sheetView workbookViewId="0">
      <selection activeCell="Q23" sqref="Q23"/>
    </sheetView>
  </sheetViews>
  <sheetFormatPr defaultRowHeight="15" x14ac:dyDescent="0.25"/>
  <cols>
    <col min="4" max="4" width="15.7109375" customWidth="1"/>
    <col min="5" max="5" width="14" customWidth="1"/>
    <col min="6" max="7" width="11" customWidth="1"/>
  </cols>
  <sheetData>
    <row r="6" spans="4:7" x14ac:dyDescent="0.25">
      <c r="D6" s="21" t="s">
        <v>22</v>
      </c>
      <c r="E6" s="21"/>
      <c r="F6" s="21"/>
      <c r="G6" s="21"/>
    </row>
    <row r="7" spans="4:7" ht="30" x14ac:dyDescent="0.25">
      <c r="D7" s="1" t="s">
        <v>16</v>
      </c>
      <c r="E7" s="1" t="s">
        <v>23</v>
      </c>
      <c r="F7" s="1" t="s">
        <v>24</v>
      </c>
      <c r="G7" s="1" t="s">
        <v>25</v>
      </c>
    </row>
    <row r="8" spans="4:7" x14ac:dyDescent="0.25">
      <c r="D8" s="3" t="s">
        <v>4</v>
      </c>
      <c r="E8" s="16">
        <v>3967</v>
      </c>
      <c r="F8" s="16">
        <v>3288</v>
      </c>
      <c r="G8" s="16">
        <v>2139</v>
      </c>
    </row>
    <row r="9" spans="4:7" x14ac:dyDescent="0.25">
      <c r="D9" s="3" t="s">
        <v>10</v>
      </c>
      <c r="E9" s="16">
        <v>8000</v>
      </c>
      <c r="F9" s="16">
        <v>4716</v>
      </c>
      <c r="G9" s="16">
        <v>4162</v>
      </c>
    </row>
    <row r="10" spans="4:7" x14ac:dyDescent="0.25">
      <c r="D10" s="3" t="s">
        <v>1</v>
      </c>
      <c r="E10" s="16">
        <v>7614</v>
      </c>
      <c r="F10" s="16">
        <v>6337</v>
      </c>
      <c r="G10" s="16"/>
    </row>
    <row r="15" spans="4:7" x14ac:dyDescent="0.25">
      <c r="D15" s="24" t="s">
        <v>26</v>
      </c>
      <c r="E15" s="24"/>
    </row>
    <row r="16" spans="4:7" ht="30" x14ac:dyDescent="0.25">
      <c r="D16" s="5" t="s">
        <v>23</v>
      </c>
      <c r="E16" s="12">
        <f>AVERAGE(E8:E10)</f>
        <v>6527</v>
      </c>
    </row>
    <row r="17" spans="4:5" x14ac:dyDescent="0.25">
      <c r="D17" s="6" t="s">
        <v>24</v>
      </c>
      <c r="E17" s="12">
        <f>AVERAGE(F8:F10)</f>
        <v>4780.333333333333</v>
      </c>
    </row>
    <row r="18" spans="4:5" x14ac:dyDescent="0.25">
      <c r="D18" s="6" t="s">
        <v>25</v>
      </c>
      <c r="E18" s="12">
        <f>AVERAGE(G8:G10)</f>
        <v>3150.5</v>
      </c>
    </row>
  </sheetData>
  <mergeCells count="2">
    <mergeCell ref="D6:G6"/>
    <mergeCell ref="D15:E15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workbookViewId="0">
      <selection activeCell="F22" sqref="E21:F22"/>
    </sheetView>
  </sheetViews>
  <sheetFormatPr defaultRowHeight="15" x14ac:dyDescent="0.25"/>
  <cols>
    <col min="2" max="2" width="25" customWidth="1"/>
    <col min="3" max="3" width="19.140625" customWidth="1"/>
    <col min="4" max="4" width="21.28515625" customWidth="1"/>
    <col min="5" max="5" width="21.85546875" customWidth="1"/>
  </cols>
  <sheetData>
    <row r="1" spans="1:5" x14ac:dyDescent="0.25">
      <c r="A1" s="1"/>
    </row>
    <row r="5" spans="1:5" x14ac:dyDescent="0.25">
      <c r="B5" s="25" t="s">
        <v>17</v>
      </c>
      <c r="C5" s="26"/>
      <c r="D5" s="26"/>
      <c r="E5" s="27"/>
    </row>
    <row r="6" spans="1:5" ht="45.75" customHeight="1" x14ac:dyDescent="0.25">
      <c r="B6" s="7" t="s">
        <v>3</v>
      </c>
      <c r="C6" s="5" t="s">
        <v>8</v>
      </c>
      <c r="D6" s="9" t="s">
        <v>6</v>
      </c>
      <c r="E6" s="10" t="s">
        <v>7</v>
      </c>
    </row>
    <row r="7" spans="1:5" x14ac:dyDescent="0.25">
      <c r="B7" s="7" t="s">
        <v>4</v>
      </c>
      <c r="C7" s="12">
        <v>4100</v>
      </c>
      <c r="D7" s="12">
        <v>3046</v>
      </c>
      <c r="E7" s="13">
        <v>3340</v>
      </c>
    </row>
    <row r="8" spans="1:5" x14ac:dyDescent="0.25">
      <c r="B8" s="11" t="s">
        <v>10</v>
      </c>
      <c r="C8" s="12">
        <v>3592</v>
      </c>
      <c r="D8" s="12">
        <v>3143</v>
      </c>
      <c r="E8" s="13">
        <v>4558</v>
      </c>
    </row>
    <row r="9" spans="1:5" x14ac:dyDescent="0.25">
      <c r="B9" s="8" t="s">
        <v>1</v>
      </c>
      <c r="C9" s="14">
        <v>7575</v>
      </c>
      <c r="D9" s="14">
        <v>9821</v>
      </c>
      <c r="E9" s="15">
        <v>6084</v>
      </c>
    </row>
    <row r="13" spans="1:5" x14ac:dyDescent="0.25">
      <c r="B13" s="25" t="s">
        <v>9</v>
      </c>
      <c r="C13" s="27"/>
    </row>
    <row r="14" spans="1:5" x14ac:dyDescent="0.25">
      <c r="B14" s="3" t="s">
        <v>0</v>
      </c>
      <c r="C14" s="16">
        <f>AVERAGE(C7:C9)</f>
        <v>5089</v>
      </c>
    </row>
    <row r="15" spans="1:5" x14ac:dyDescent="0.25">
      <c r="B15" s="3" t="s">
        <v>2</v>
      </c>
      <c r="C15" s="16">
        <f>AVERAGE(D7:D9)</f>
        <v>5336.666666666667</v>
      </c>
    </row>
    <row r="16" spans="1:5" x14ac:dyDescent="0.25">
      <c r="B16" s="3" t="s">
        <v>5</v>
      </c>
      <c r="C16" s="16">
        <f>AVERAGE(E7:E9)</f>
        <v>4660.666666666667</v>
      </c>
    </row>
  </sheetData>
  <mergeCells count="2">
    <mergeCell ref="B5:E5"/>
    <mergeCell ref="B13:C13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Programiści</vt:lpstr>
      <vt:lpstr>Projektanci</vt:lpstr>
      <vt:lpstr>Pozostali pracownicy</vt:lpstr>
      <vt:lpstr>Graficy</vt:lpstr>
      <vt:lpstr>Programiści!kursy_walut.mybank.pl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2015-01-27T13:17:24Z</dcterms:modified>
</cp:coreProperties>
</file>